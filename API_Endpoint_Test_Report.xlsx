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llection GET" sheetId="2" state="visible" r:id="rId4"/>
    <sheet name="Single-Resource GET" sheetId="3" state="visible" r:id="rId5"/>
    <sheet name="POST (Create)" sheetId="4" state="visible" r:id="rId6"/>
    <sheet name="PUT (Update)" sheetId="5" state="visible" r:id="rId7"/>
    <sheet name="DELETE" sheetId="6" state="visible" r:id="rId8"/>
    <sheet name="Nested Relationship GET" sheetId="7" state="visible" r:id="rId9"/>
    <sheet name="Nested PUT-Ac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<sst xmlns="http://schemas.openxmlformats.org/spreadsheetml/2006/main" count="1770" uniqueCount="120">
  <si>
    <t xml:space="preserve">#</t>
  </si>
  <si>
    <t xml:space="preserve">Person</t>
  </si>
  <si>
    <t xml:space="preserve">Method</t>
  </si>
  <si>
    <t xml:space="preserve">Path</t>
  </si>
  <si>
    <t xml:space="preserve">Endpoint Type</t>
  </si>
  <si>
    <t xml:space="preserve">Overall Status</t>
  </si>
  <si>
    <t xml:space="preserve">Blocker Count</t>
  </si>
  <si>
    <t xml:space="preserve">Tested By</t>
  </si>
  <si>
    <t xml:space="preserve">Date Tested</t>
  </si>
  <si>
    <t xml:space="preserve">Notes</t>
  </si>
  <si>
    <t xml:space="preserve">Summary</t>
  </si>
  <si>
    <t xml:space="preserve">Samrina</t>
  </si>
  <si>
    <t xml:space="preserve">GET</t>
  </si>
  <si>
    <t xml:space="preserve">/warehouses</t>
  </si>
  <si>
    <t xml:space="preserve">Collection GET</t>
  </si>
  <si>
    <t xml:space="preserve">Not Started</t>
  </si>
  <si>
    <t xml:space="preserve">POST</t>
  </si>
  <si>
    <t xml:space="preserve">POST (Create)</t>
  </si>
  <si>
    <t xml:space="preserve">Pass</t>
  </si>
  <si>
    <t xml:space="preserve">/warehouses/{id}</t>
  </si>
  <si>
    <t xml:space="preserve">Single-Resource GET</t>
  </si>
  <si>
    <t xml:space="preserve">Fail</t>
  </si>
  <si>
    <t xml:space="preserve">PUT</t>
  </si>
  <si>
    <t xml:space="preserve">PUT (Update)</t>
  </si>
  <si>
    <t xml:space="preserve">Blocked</t>
  </si>
  <si>
    <t xml:space="preserve">DELETE</t>
  </si>
  <si>
    <t xml:space="preserve">N/A</t>
  </si>
  <si>
    <t xml:space="preserve">/warehouses/{id}/locations</t>
  </si>
  <si>
    <t xml:space="preserve">Nested Relationship GET</t>
  </si>
  <si>
    <t xml:space="preserve">/items</t>
  </si>
  <si>
    <t xml:space="preserve">By Person</t>
  </si>
  <si>
    <t xml:space="preserve">/items/{id}</t>
  </si>
  <si>
    <t xml:space="preserve">Daniel</t>
  </si>
  <si>
    <t xml:space="preserve">Dimitri</t>
  </si>
  <si>
    <t xml:space="preserve">Yorick</t>
  </si>
  <si>
    <t xml:space="preserve">/items/{id}/inventory</t>
  </si>
  <si>
    <t xml:space="preserve">/items/{id}/inventory/totals</t>
  </si>
  <si>
    <t xml:space="preserve">/item_lines</t>
  </si>
  <si>
    <t xml:space="preserve">/item_lines/{id}</t>
  </si>
  <si>
    <t xml:space="preserve">/item_lines/{id}/items</t>
  </si>
  <si>
    <t xml:space="preserve">/shipments</t>
  </si>
  <si>
    <t xml:space="preserve">/shipments/{id}</t>
  </si>
  <si>
    <t xml:space="preserve">/shipments/{id}/orders</t>
  </si>
  <si>
    <t xml:space="preserve">Nested PUT-Action</t>
  </si>
  <si>
    <t xml:space="preserve">/shipments/{id}/items</t>
  </si>
  <si>
    <t xml:space="preserve">/inventories</t>
  </si>
  <si>
    <t xml:space="preserve">/inventories/{id}</t>
  </si>
  <si>
    <t xml:space="preserve">/locations</t>
  </si>
  <si>
    <t xml:space="preserve">/locations/{id}</t>
  </si>
  <si>
    <t xml:space="preserve">/transfers</t>
  </si>
  <si>
    <t xml:space="preserve">/transfers/{id}</t>
  </si>
  <si>
    <t xml:space="preserve">/transfers/{id}/items</t>
  </si>
  <si>
    <t xml:space="preserve">/transfers/{id}/commit</t>
  </si>
  <si>
    <t xml:space="preserve">/suppliers</t>
  </si>
  <si>
    <t xml:space="preserve">/suppliers/{id}</t>
  </si>
  <si>
    <t xml:space="preserve">/suppliers/{id}/items</t>
  </si>
  <si>
    <t xml:space="preserve">/item_groups</t>
  </si>
  <si>
    <t xml:space="preserve">/item_groups/{id}</t>
  </si>
  <si>
    <t xml:space="preserve">/item_groups/{id}/items</t>
  </si>
  <si>
    <t xml:space="preserve">/orders</t>
  </si>
  <si>
    <t xml:space="preserve">/orders/{id}</t>
  </si>
  <si>
    <t xml:space="preserve">/orders/{id}/items</t>
  </si>
  <si>
    <t xml:space="preserve">/clients</t>
  </si>
  <si>
    <t xml:space="preserve">/clients/{id}</t>
  </si>
  <si>
    <t xml:space="preserve">/clients/{id}/orders</t>
  </si>
  <si>
    <t xml:space="preserve">/item_types</t>
  </si>
  <si>
    <t xml:space="preserve">/item_types/{id}</t>
  </si>
  <si>
    <t xml:space="preserve">/item_types/{id}/items</t>
  </si>
  <si>
    <t xml:space="preserve">Returns 200 with valid response</t>
  </si>
  <si>
    <t xml:space="preserve">Response schema matches spec</t>
  </si>
  <si>
    <t xml:space="preserve">Pagination works as documented</t>
  </si>
  <si>
    <t xml:space="preserve">Filtering params work (2+ filters tested)</t>
  </si>
  <si>
    <t xml:space="preserve">Sorting params work (if documented)</t>
  </si>
  <si>
    <t xml:space="preserve">Empty result returns 200 + empty array</t>
  </si>
  <si>
    <t xml:space="preserve">Invalid query param handled gracefully (not 500)</t>
  </si>
  <si>
    <t xml:space="preserve">Response time reasonable</t>
  </si>
  <si>
    <t xml:space="preserve">Auth: request without credentials rejected (401)</t>
  </si>
  <si>
    <t xml:space="preserve">Auth: insufficient permissions rejected (403), if roles apply</t>
  </si>
  <si>
    <t xml:space="preserve">Content-Type required/enforced correctly</t>
  </si>
  <si>
    <t xml:space="preserve">Error response format consistent with rest of API</t>
  </si>
  <si>
    <t xml:space="preserve">Response matches OpenAPI spec (status codes, required fields)</t>
  </si>
  <si>
    <t xml:space="preserve">No sensitive data leakage in error responses</t>
  </si>
  <si>
    <t xml:space="preserve">Severity</t>
  </si>
  <si>
    <t xml:space="preserve">Person 1</t>
  </si>
  <si>
    <t xml:space="preserve">None</t>
  </si>
  <si>
    <t xml:space="preserve">Person 2</t>
  </si>
  <si>
    <t xml:space="preserve">Person 3</t>
  </si>
  <si>
    <t xml:space="preserve">Person 4</t>
  </si>
  <si>
    <t xml:space="preserve">Valid ID returns 200 with correct resource</t>
  </si>
  <si>
    <t xml:space="preserve">Non-existent ID returns 404</t>
  </si>
  <si>
    <t xml:space="preserve">Malformed ID returns 400 (not 500)</t>
  </si>
  <si>
    <t xml:space="preserve">All documented fields present &amp; correctly typed</t>
  </si>
  <si>
    <t xml:space="preserve">Nested/related objects complete &amp; consistent</t>
  </si>
  <si>
    <t xml:space="preserve">Valid payload returns 201 with created resource</t>
  </si>
  <si>
    <t xml:space="preserve">Location/body correctly references new resource</t>
  </si>
  <si>
    <t xml:space="preserve">Missing required field(s) returns 400/422</t>
  </si>
  <si>
    <t xml:space="preserve">Invalid field type/value rejected (not coerced)</t>
  </si>
  <si>
    <t xml:space="preserve">Duplicate/unique constraint handled properly</t>
  </si>
  <si>
    <t xml:space="preserve">Extra/unexpected fields handled consistently</t>
  </si>
  <si>
    <t xml:space="preserve">Created resource immediately retrievable via GET</t>
  </si>
  <si>
    <t xml:space="preserve">Foreign key references validated</t>
  </si>
  <si>
    <t xml:space="preserve">Valid payload updates resource, returns 200</t>
  </si>
  <si>
    <t xml:space="preserve">Partial payload behavior matches documented spec</t>
  </si>
  <si>
    <t xml:space="preserve">Invalid field values rejected</t>
  </si>
  <si>
    <t xml:space="preserve">Update persisted (confirmed via re-GET)</t>
  </si>
  <si>
    <t xml:space="preserve">Concurrent/conflicting updates don't corrupt data</t>
  </si>
  <si>
    <t xml:space="preserve">Valid ID deletes, returns 200/204</t>
  </si>
  <si>
    <t xml:space="preserve">Resource confirmed gone after delete (404 on re-GET)</t>
  </si>
  <si>
    <t xml:space="preserve">Referential integrity handled deliberately</t>
  </si>
  <si>
    <t xml:space="preserve">Repeated DELETE returns 404 (not 500)</t>
  </si>
  <si>
    <t xml:space="preserve">Returns only items belonging to correct parent</t>
  </si>
  <si>
    <t xml:space="preserve">Non-existent parent ID returns 404</t>
  </si>
  <si>
    <t xml:space="preserve">Empty relationship returns 200 + empty array</t>
  </si>
  <si>
    <t xml:space="preserve">Pagination/filtering consistent with regular GETs</t>
  </si>
  <si>
    <t xml:space="preserve">Valid payload performs expected action, correct status</t>
  </si>
  <si>
    <t xml:space="preserve">Business rules enforced (e.g. stock/state updates correctly)</t>
  </si>
  <si>
    <t xml:space="preserve">Idempotency behavior correct/documented</t>
  </si>
  <si>
    <t xml:space="preserve">Invalid state transitions rejected</t>
  </si>
  <si>
    <t xml:space="preserve">Referenced sub-resources validated (exist &amp; belong to parent)</t>
  </si>
  <si>
    <t xml:space="preserve">Side effects on related resources verified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</si>
</sst>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2" displayName="Tabel2" ref="A1:I77" headerRowCount="1" totalsRowCount="0" totalsRowShown="0">
  <autoFilter ref="A1:I77"/>
  <tableColumns count="9">
    <tableColumn id="1" name="#"/>
    <tableColumn id="2" name="Person"/>
    <tableColumn id="3" name="Method"/>
    <tableColumn id="4" name="Path"/>
    <tableColumn id="5" name="Endpoint Type"/>
    <tableColumn id="6" name="Overall Status"/>
    <tableColumn id="7" name="Blocker Count"/>
    <tableColumn id="8" name="Tested By"/>
    <tableColumn id="9" name="Date Tes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8" activeCellId="0" sqref="L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1.67"/>
    <col collapsed="false" customWidth="true" hidden="false" outlineLevel="0" max="3" min="3" style="0" width="11.89"/>
    <col collapsed="false" customWidth="true" hidden="false" outlineLevel="0" max="4" min="4" style="0" width="22.56"/>
    <col collapsed="false" customWidth="true" hidden="false" outlineLevel="0" max="5" min="5" style="0" width="21.33"/>
    <col collapsed="false" customWidth="true" hidden="false" outlineLevel="0" max="6" min="6" style="0" width="17.88"/>
    <col collapsed="false" customWidth="true" hidden="false" outlineLevel="0" max="7" min="7" style="0" width="18.11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L1" s="5" t="s">
        <v>10</v>
      </c>
    </row>
    <row r="2" customFormat="false" ht="14.25" hidden="false" customHeight="false" outlineLevel="0" collapsed="false">
      <c r="A2" s="6" t="n">
        <v>1</v>
      </c>
      <c r="B2" s="7" t="s">
        <v>11</v>
      </c>
      <c r="C2" s="7" t="s">
        <v>12</v>
      </c>
      <c r="D2" s="8" t="s">
        <v>13</v>
      </c>
      <c r="E2" s="7" t="s">
        <v>14</v>
      </c>
      <c r="F2" s="7" t="s">
        <v>15</v>
      </c>
      <c r="G2" s="7" t="n">
        <v>0</v>
      </c>
      <c r="H2" s="7"/>
      <c r="I2" s="7"/>
      <c r="J2" s="9"/>
      <c r="L2" s="10" t="s">
        <v>15</v>
      </c>
      <c r="M2" s="10" t="n">
        <f aca="false">COUNTIF(F2:F77,"Not Started")</f>
        <v>76</v>
      </c>
    </row>
    <row r="3" customFormat="false" ht="14.25" hidden="false" customHeight="false" outlineLevel="0" collapsed="false">
      <c r="A3" s="6" t="n">
        <v>2</v>
      </c>
      <c r="B3" s="7" t="s">
        <v>11</v>
      </c>
      <c r="C3" s="7" t="s">
        <v>16</v>
      </c>
      <c r="D3" s="8" t="s">
        <v>13</v>
      </c>
      <c r="E3" s="7" t="s">
        <v>17</v>
      </c>
      <c r="F3" s="7" t="s">
        <v>15</v>
      </c>
      <c r="G3" s="7" t="n">
        <v>0</v>
      </c>
      <c r="H3" s="7"/>
      <c r="I3" s="7"/>
      <c r="J3" s="9"/>
      <c r="L3" s="10" t="s">
        <v>18</v>
      </c>
      <c r="M3" s="10" t="n">
        <f aca="false">COUNTIF(F2:F77,"Pass")</f>
        <v>0</v>
      </c>
    </row>
    <row r="4" customFormat="false" ht="14.25" hidden="false" customHeight="false" outlineLevel="0" collapsed="false">
      <c r="A4" s="6" t="n">
        <v>3</v>
      </c>
      <c r="B4" s="7" t="s">
        <v>11</v>
      </c>
      <c r="C4" s="7" t="s">
        <v>12</v>
      </c>
      <c r="D4" s="8" t="s">
        <v>19</v>
      </c>
      <c r="E4" s="7" t="s">
        <v>20</v>
      </c>
      <c r="F4" s="7" t="s">
        <v>15</v>
      </c>
      <c r="G4" s="7" t="n">
        <v>0</v>
      </c>
      <c r="H4" s="7"/>
      <c r="I4" s="7"/>
      <c r="J4" s="9"/>
      <c r="L4" s="10" t="s">
        <v>21</v>
      </c>
      <c r="M4" s="10" t="n">
        <f aca="false">COUNTIF(F2:F77,"Fail")</f>
        <v>0</v>
      </c>
    </row>
    <row r="5" customFormat="false" ht="14.25" hidden="false" customHeight="false" outlineLevel="0" collapsed="false">
      <c r="A5" s="6" t="n">
        <v>4</v>
      </c>
      <c r="B5" s="7" t="s">
        <v>11</v>
      </c>
      <c r="C5" s="7" t="s">
        <v>22</v>
      </c>
      <c r="D5" s="8" t="s">
        <v>19</v>
      </c>
      <c r="E5" s="7" t="s">
        <v>23</v>
      </c>
      <c r="F5" s="7" t="s">
        <v>15</v>
      </c>
      <c r="G5" s="7" t="n">
        <v>0</v>
      </c>
      <c r="H5" s="7"/>
      <c r="I5" s="7"/>
      <c r="J5" s="9"/>
      <c r="L5" s="10" t="s">
        <v>24</v>
      </c>
      <c r="M5" s="10" t="n">
        <f aca="false">COUNTIF(F2:F77,"Blocked")</f>
        <v>0</v>
      </c>
    </row>
    <row r="6" customFormat="false" ht="14.25" hidden="false" customHeight="false" outlineLevel="0" collapsed="false">
      <c r="A6" s="6" t="n">
        <v>5</v>
      </c>
      <c r="B6" s="7" t="s">
        <v>11</v>
      </c>
      <c r="C6" s="7" t="s">
        <v>25</v>
      </c>
      <c r="D6" s="8" t="s">
        <v>19</v>
      </c>
      <c r="E6" s="7" t="s">
        <v>25</v>
      </c>
      <c r="F6" s="7" t="s">
        <v>15</v>
      </c>
      <c r="G6" s="7" t="n">
        <v>0</v>
      </c>
      <c r="H6" s="7"/>
      <c r="I6" s="7"/>
      <c r="J6" s="9"/>
      <c r="L6" s="10" t="s">
        <v>26</v>
      </c>
      <c r="M6" s="10" t="n">
        <f aca="false">COUNTIF(F2:F77,"N/A")</f>
        <v>0</v>
      </c>
    </row>
    <row r="7" customFormat="false" ht="14.25" hidden="false" customHeight="false" outlineLevel="0" collapsed="false">
      <c r="A7" s="6" t="n">
        <v>6</v>
      </c>
      <c r="B7" s="7" t="s">
        <v>11</v>
      </c>
      <c r="C7" s="7" t="s">
        <v>12</v>
      </c>
      <c r="D7" s="8" t="s">
        <v>27</v>
      </c>
      <c r="E7" s="7" t="s">
        <v>28</v>
      </c>
      <c r="F7" s="7" t="s">
        <v>15</v>
      </c>
      <c r="G7" s="7" t="n">
        <v>0</v>
      </c>
      <c r="H7" s="7"/>
      <c r="I7" s="7"/>
      <c r="J7" s="9"/>
    </row>
    <row r="8" customFormat="false" ht="14.25" hidden="false" customHeight="false" outlineLevel="0" collapsed="false">
      <c r="A8" s="6" t="n">
        <v>7</v>
      </c>
      <c r="B8" s="7" t="s">
        <v>11</v>
      </c>
      <c r="C8" s="7" t="s">
        <v>12</v>
      </c>
      <c r="D8" s="8" t="s">
        <v>29</v>
      </c>
      <c r="E8" s="7" t="s">
        <v>14</v>
      </c>
      <c r="F8" s="7" t="s">
        <v>15</v>
      </c>
      <c r="G8" s="7" t="n">
        <v>0</v>
      </c>
      <c r="H8" s="7"/>
      <c r="I8" s="7"/>
      <c r="J8" s="9"/>
      <c r="L8" s="5" t="s">
        <v>30</v>
      </c>
    </row>
    <row r="9" customFormat="false" ht="14.25" hidden="false" customHeight="false" outlineLevel="0" collapsed="false">
      <c r="A9" s="6" t="n">
        <v>8</v>
      </c>
      <c r="B9" s="7" t="s">
        <v>11</v>
      </c>
      <c r="C9" s="7" t="s">
        <v>16</v>
      </c>
      <c r="D9" s="8" t="s">
        <v>29</v>
      </c>
      <c r="E9" s="7" t="s">
        <v>17</v>
      </c>
      <c r="F9" s="7" t="s">
        <v>15</v>
      </c>
      <c r="G9" s="7" t="n">
        <v>0</v>
      </c>
      <c r="H9" s="7"/>
      <c r="I9" s="7"/>
      <c r="J9" s="9"/>
      <c r="L9" s="10" t="s">
        <v>11</v>
      </c>
      <c r="M9" s="10" t="n">
        <f aca="false">COUNTIF(B2:B77,"Samrina")</f>
        <v>19</v>
      </c>
    </row>
    <row r="10" customFormat="false" ht="14.25" hidden="false" customHeight="false" outlineLevel="0" collapsed="false">
      <c r="A10" s="6" t="n">
        <v>9</v>
      </c>
      <c r="B10" s="7" t="s">
        <v>11</v>
      </c>
      <c r="C10" s="7" t="s">
        <v>12</v>
      </c>
      <c r="D10" s="8" t="s">
        <v>31</v>
      </c>
      <c r="E10" s="7" t="s">
        <v>20</v>
      </c>
      <c r="F10" s="7" t="s">
        <v>15</v>
      </c>
      <c r="G10" s="7" t="n">
        <v>0</v>
      </c>
      <c r="H10" s="7"/>
      <c r="I10" s="7"/>
      <c r="J10" s="9"/>
      <c r="L10" s="10" t="s">
        <v>32</v>
      </c>
      <c r="M10" s="10" t="n">
        <f aca="false">COUNTIF(B2:B77,"Daniel")</f>
        <v>19</v>
      </c>
    </row>
    <row r="11" customFormat="false" ht="14.25" hidden="false" customHeight="false" outlineLevel="0" collapsed="false">
      <c r="A11" s="6" t="n">
        <v>10</v>
      </c>
      <c r="B11" s="7" t="s">
        <v>11</v>
      </c>
      <c r="C11" s="7" t="s">
        <v>22</v>
      </c>
      <c r="D11" s="8" t="s">
        <v>31</v>
      </c>
      <c r="E11" s="7" t="s">
        <v>23</v>
      </c>
      <c r="F11" s="7" t="s">
        <v>15</v>
      </c>
      <c r="G11" s="7" t="n">
        <v>0</v>
      </c>
      <c r="H11" s="7"/>
      <c r="I11" s="7"/>
      <c r="J11" s="9"/>
      <c r="L11" s="10" t="s">
        <v>33</v>
      </c>
      <c r="M11" s="10" t="n">
        <f aca="false">COUNTIF(B2:B77,"Dimitri")</f>
        <v>19</v>
      </c>
    </row>
    <row r="12" customFormat="false" ht="14.25" hidden="false" customHeight="false" outlineLevel="0" collapsed="false">
      <c r="A12" s="6" t="n">
        <v>11</v>
      </c>
      <c r="B12" s="7" t="s">
        <v>11</v>
      </c>
      <c r="C12" s="7" t="s">
        <v>25</v>
      </c>
      <c r="D12" s="8" t="s">
        <v>31</v>
      </c>
      <c r="E12" s="7" t="s">
        <v>25</v>
      </c>
      <c r="F12" s="7" t="s">
        <v>15</v>
      </c>
      <c r="G12" s="7" t="n">
        <v>0</v>
      </c>
      <c r="H12" s="7"/>
      <c r="I12" s="7"/>
      <c r="J12" s="9"/>
      <c r="L12" s="10" t="s">
        <v>34</v>
      </c>
      <c r="M12" s="10" t="n">
        <f aca="false">COUNTIF(B2:B77,"Yorick")</f>
        <v>19</v>
      </c>
    </row>
    <row r="13" customFormat="false" ht="14.25" hidden="false" customHeight="false" outlineLevel="0" collapsed="false">
      <c r="A13" s="6" t="n">
        <v>12</v>
      </c>
      <c r="B13" s="7" t="s">
        <v>11</v>
      </c>
      <c r="C13" s="7" t="s">
        <v>12</v>
      </c>
      <c r="D13" s="8" t="s">
        <v>35</v>
      </c>
      <c r="E13" s="7" t="s">
        <v>28</v>
      </c>
      <c r="F13" s="7" t="s">
        <v>15</v>
      </c>
      <c r="G13" s="7" t="n">
        <v>0</v>
      </c>
      <c r="H13" s="7"/>
      <c r="I13" s="7"/>
      <c r="J13" s="9"/>
    </row>
    <row r="14" customFormat="false" ht="14.25" hidden="false" customHeight="false" outlineLevel="0" collapsed="false">
      <c r="A14" s="6" t="n">
        <v>13</v>
      </c>
      <c r="B14" s="7" t="s">
        <v>11</v>
      </c>
      <c r="C14" s="7" t="s">
        <v>12</v>
      </c>
      <c r="D14" s="8" t="s">
        <v>36</v>
      </c>
      <c r="E14" s="7" t="s">
        <v>28</v>
      </c>
      <c r="F14" s="7" t="s">
        <v>15</v>
      </c>
      <c r="G14" s="7" t="n">
        <v>0</v>
      </c>
      <c r="H14" s="7"/>
      <c r="I14" s="7"/>
      <c r="J14" s="9"/>
    </row>
    <row r="15" customFormat="false" ht="14.25" hidden="false" customHeight="false" outlineLevel="0" collapsed="false">
      <c r="A15" s="6" t="n">
        <v>14</v>
      </c>
      <c r="B15" s="7" t="s">
        <v>11</v>
      </c>
      <c r="C15" s="7" t="s">
        <v>12</v>
      </c>
      <c r="D15" s="8" t="s">
        <v>37</v>
      </c>
      <c r="E15" s="7" t="s">
        <v>14</v>
      </c>
      <c r="F15" s="7" t="s">
        <v>15</v>
      </c>
      <c r="G15" s="7" t="n">
        <v>0</v>
      </c>
      <c r="H15" s="7"/>
      <c r="I15" s="7"/>
      <c r="J15" s="9"/>
    </row>
    <row r="16" customFormat="false" ht="14.25" hidden="false" customHeight="false" outlineLevel="0" collapsed="false">
      <c r="A16" s="6" t="n">
        <v>15</v>
      </c>
      <c r="B16" s="7" t="s">
        <v>11</v>
      </c>
      <c r="C16" s="7" t="s">
        <v>16</v>
      </c>
      <c r="D16" s="8" t="s">
        <v>37</v>
      </c>
      <c r="E16" s="7" t="s">
        <v>17</v>
      </c>
      <c r="F16" s="7" t="s">
        <v>15</v>
      </c>
      <c r="G16" s="7" t="n">
        <v>0</v>
      </c>
      <c r="H16" s="7"/>
      <c r="I16" s="7"/>
      <c r="J16" s="9"/>
    </row>
    <row r="17" customFormat="false" ht="14.25" hidden="false" customHeight="false" outlineLevel="0" collapsed="false">
      <c r="A17" s="6" t="n">
        <v>16</v>
      </c>
      <c r="B17" s="7" t="s">
        <v>11</v>
      </c>
      <c r="C17" s="7" t="s">
        <v>12</v>
      </c>
      <c r="D17" s="8" t="s">
        <v>38</v>
      </c>
      <c r="E17" s="7" t="s">
        <v>20</v>
      </c>
      <c r="F17" s="7" t="s">
        <v>15</v>
      </c>
      <c r="G17" s="7" t="n">
        <v>0</v>
      </c>
      <c r="H17" s="7"/>
      <c r="I17" s="7"/>
      <c r="J17" s="9"/>
    </row>
    <row r="18" customFormat="false" ht="14.25" hidden="false" customHeight="false" outlineLevel="0" collapsed="false">
      <c r="A18" s="6" t="n">
        <v>17</v>
      </c>
      <c r="B18" s="7" t="s">
        <v>11</v>
      </c>
      <c r="C18" s="7" t="s">
        <v>22</v>
      </c>
      <c r="D18" s="8" t="s">
        <v>38</v>
      </c>
      <c r="E18" s="7" t="s">
        <v>23</v>
      </c>
      <c r="F18" s="7" t="s">
        <v>15</v>
      </c>
      <c r="G18" s="7" t="n">
        <v>0</v>
      </c>
      <c r="H18" s="7"/>
      <c r="I18" s="7"/>
      <c r="J18" s="9"/>
    </row>
    <row r="19" customFormat="false" ht="14.25" hidden="false" customHeight="false" outlineLevel="0" collapsed="false">
      <c r="A19" s="6" t="n">
        <v>18</v>
      </c>
      <c r="B19" s="7" t="s">
        <v>11</v>
      </c>
      <c r="C19" s="7" t="s">
        <v>25</v>
      </c>
      <c r="D19" s="8" t="s">
        <v>38</v>
      </c>
      <c r="E19" s="7" t="s">
        <v>25</v>
      </c>
      <c r="F19" s="7" t="s">
        <v>15</v>
      </c>
      <c r="G19" s="7" t="n">
        <v>0</v>
      </c>
      <c r="H19" s="7"/>
      <c r="I19" s="7"/>
      <c r="J19" s="9"/>
    </row>
    <row r="20" customFormat="false" ht="14.25" hidden="false" customHeight="false" outlineLevel="0" collapsed="false">
      <c r="A20" s="6" t="n">
        <v>19</v>
      </c>
      <c r="B20" s="7" t="s">
        <v>11</v>
      </c>
      <c r="C20" s="7" t="s">
        <v>12</v>
      </c>
      <c r="D20" s="8" t="s">
        <v>39</v>
      </c>
      <c r="E20" s="7" t="s">
        <v>28</v>
      </c>
      <c r="F20" s="7" t="s">
        <v>15</v>
      </c>
      <c r="G20" s="7" t="n">
        <v>0</v>
      </c>
      <c r="H20" s="7"/>
      <c r="I20" s="7"/>
      <c r="J20" s="9"/>
    </row>
    <row r="21" customFormat="false" ht="14.25" hidden="false" customHeight="false" outlineLevel="0" collapsed="false">
      <c r="A21" s="6" t="n">
        <v>20</v>
      </c>
      <c r="B21" s="7" t="s">
        <v>32</v>
      </c>
      <c r="C21" s="7" t="s">
        <v>12</v>
      </c>
      <c r="D21" s="8" t="s">
        <v>40</v>
      </c>
      <c r="E21" s="7" t="s">
        <v>14</v>
      </c>
      <c r="F21" s="7" t="s">
        <v>15</v>
      </c>
      <c r="G21" s="7" t="n">
        <v>0</v>
      </c>
      <c r="H21" s="7"/>
      <c r="I21" s="7"/>
      <c r="J21" s="9"/>
    </row>
    <row r="22" customFormat="false" ht="14.25" hidden="false" customHeight="false" outlineLevel="0" collapsed="false">
      <c r="A22" s="6" t="n">
        <v>21</v>
      </c>
      <c r="B22" s="7" t="s">
        <v>32</v>
      </c>
      <c r="C22" s="7" t="s">
        <v>16</v>
      </c>
      <c r="D22" s="8" t="s">
        <v>40</v>
      </c>
      <c r="E22" s="7" t="s">
        <v>17</v>
      </c>
      <c r="F22" s="7" t="s">
        <v>15</v>
      </c>
      <c r="G22" s="7" t="n">
        <v>0</v>
      </c>
      <c r="H22" s="7"/>
      <c r="I22" s="7"/>
      <c r="J22" s="9"/>
    </row>
    <row r="23" customFormat="false" ht="14.25" hidden="false" customHeight="false" outlineLevel="0" collapsed="false">
      <c r="A23" s="6" t="n">
        <v>22</v>
      </c>
      <c r="B23" s="7" t="s">
        <v>32</v>
      </c>
      <c r="C23" s="7" t="s">
        <v>12</v>
      </c>
      <c r="D23" s="8" t="s">
        <v>41</v>
      </c>
      <c r="E23" s="7" t="s">
        <v>20</v>
      </c>
      <c r="F23" s="7" t="s">
        <v>15</v>
      </c>
      <c r="G23" s="7" t="n">
        <v>0</v>
      </c>
      <c r="H23" s="7"/>
      <c r="I23" s="7"/>
      <c r="J23" s="9"/>
    </row>
    <row r="24" customFormat="false" ht="14.25" hidden="false" customHeight="false" outlineLevel="0" collapsed="false">
      <c r="A24" s="6" t="n">
        <v>23</v>
      </c>
      <c r="B24" s="7" t="s">
        <v>32</v>
      </c>
      <c r="C24" s="7" t="s">
        <v>22</v>
      </c>
      <c r="D24" s="8" t="s">
        <v>41</v>
      </c>
      <c r="E24" s="7" t="s">
        <v>23</v>
      </c>
      <c r="F24" s="7" t="s">
        <v>15</v>
      </c>
      <c r="G24" s="7" t="n">
        <v>0</v>
      </c>
      <c r="H24" s="7"/>
      <c r="I24" s="7"/>
      <c r="J24" s="9"/>
    </row>
    <row r="25" customFormat="false" ht="14.25" hidden="false" customHeight="false" outlineLevel="0" collapsed="false">
      <c r="A25" s="6" t="n">
        <v>24</v>
      </c>
      <c r="B25" s="7" t="s">
        <v>32</v>
      </c>
      <c r="C25" s="7" t="s">
        <v>25</v>
      </c>
      <c r="D25" s="8" t="s">
        <v>41</v>
      </c>
      <c r="E25" s="7" t="s">
        <v>25</v>
      </c>
      <c r="F25" s="7" t="s">
        <v>15</v>
      </c>
      <c r="G25" s="7" t="n">
        <v>0</v>
      </c>
      <c r="H25" s="7"/>
      <c r="I25" s="7"/>
      <c r="J25" s="9"/>
    </row>
    <row r="26" customFormat="false" ht="14.25" hidden="false" customHeight="false" outlineLevel="0" collapsed="false">
      <c r="A26" s="6" t="n">
        <v>25</v>
      </c>
      <c r="B26" s="7" t="s">
        <v>32</v>
      </c>
      <c r="C26" s="7" t="s">
        <v>12</v>
      </c>
      <c r="D26" s="8" t="s">
        <v>42</v>
      </c>
      <c r="E26" s="7" t="s">
        <v>28</v>
      </c>
      <c r="F26" s="7" t="s">
        <v>15</v>
      </c>
      <c r="G26" s="7" t="n">
        <v>0</v>
      </c>
      <c r="H26" s="7"/>
      <c r="I26" s="7"/>
      <c r="J26" s="9"/>
    </row>
    <row r="27" customFormat="false" ht="14.25" hidden="false" customHeight="false" outlineLevel="0" collapsed="false">
      <c r="A27" s="6" t="n">
        <v>26</v>
      </c>
      <c r="B27" s="7" t="s">
        <v>32</v>
      </c>
      <c r="C27" s="7" t="s">
        <v>22</v>
      </c>
      <c r="D27" s="8" t="s">
        <v>42</v>
      </c>
      <c r="E27" s="7" t="s">
        <v>43</v>
      </c>
      <c r="F27" s="7" t="s">
        <v>15</v>
      </c>
      <c r="G27" s="7" t="n">
        <v>0</v>
      </c>
      <c r="H27" s="7"/>
      <c r="I27" s="7"/>
      <c r="J27" s="9"/>
    </row>
    <row r="28" customFormat="false" ht="14.25" hidden="false" customHeight="false" outlineLevel="0" collapsed="false">
      <c r="A28" s="6" t="n">
        <v>27</v>
      </c>
      <c r="B28" s="7" t="s">
        <v>32</v>
      </c>
      <c r="C28" s="7" t="s">
        <v>12</v>
      </c>
      <c r="D28" s="8" t="s">
        <v>44</v>
      </c>
      <c r="E28" s="7" t="s">
        <v>28</v>
      </c>
      <c r="F28" s="7" t="s">
        <v>15</v>
      </c>
      <c r="G28" s="7" t="n">
        <v>0</v>
      </c>
      <c r="H28" s="7"/>
      <c r="I28" s="7"/>
      <c r="J28" s="9"/>
    </row>
    <row r="29" customFormat="false" ht="14.25" hidden="false" customHeight="false" outlineLevel="0" collapsed="false">
      <c r="A29" s="6" t="n">
        <v>28</v>
      </c>
      <c r="B29" s="7" t="s">
        <v>32</v>
      </c>
      <c r="C29" s="7" t="s">
        <v>22</v>
      </c>
      <c r="D29" s="8" t="s">
        <v>44</v>
      </c>
      <c r="E29" s="7" t="s">
        <v>43</v>
      </c>
      <c r="F29" s="7" t="s">
        <v>15</v>
      </c>
      <c r="G29" s="7" t="n">
        <v>0</v>
      </c>
      <c r="H29" s="7"/>
      <c r="I29" s="7"/>
      <c r="J29" s="9"/>
    </row>
    <row r="30" customFormat="false" ht="14.25" hidden="false" customHeight="false" outlineLevel="0" collapsed="false">
      <c r="A30" s="6" t="n">
        <v>29</v>
      </c>
      <c r="B30" s="7" t="s">
        <v>32</v>
      </c>
      <c r="C30" s="7" t="s">
        <v>12</v>
      </c>
      <c r="D30" s="8" t="s">
        <v>45</v>
      </c>
      <c r="E30" s="7" t="s">
        <v>14</v>
      </c>
      <c r="F30" s="7" t="s">
        <v>15</v>
      </c>
      <c r="G30" s="7" t="n">
        <v>0</v>
      </c>
      <c r="H30" s="7"/>
      <c r="I30" s="7"/>
      <c r="J30" s="9"/>
    </row>
    <row r="31" customFormat="false" ht="14.25" hidden="false" customHeight="false" outlineLevel="0" collapsed="false">
      <c r="A31" s="6" t="n">
        <v>30</v>
      </c>
      <c r="B31" s="7" t="s">
        <v>32</v>
      </c>
      <c r="C31" s="7" t="s">
        <v>16</v>
      </c>
      <c r="D31" s="8" t="s">
        <v>45</v>
      </c>
      <c r="E31" s="7" t="s">
        <v>17</v>
      </c>
      <c r="F31" s="7" t="s">
        <v>15</v>
      </c>
      <c r="G31" s="7" t="n">
        <v>0</v>
      </c>
      <c r="H31" s="7"/>
      <c r="I31" s="7"/>
      <c r="J31" s="9"/>
    </row>
    <row r="32" customFormat="false" ht="14.25" hidden="false" customHeight="false" outlineLevel="0" collapsed="false">
      <c r="A32" s="6" t="n">
        <v>31</v>
      </c>
      <c r="B32" s="7" t="s">
        <v>32</v>
      </c>
      <c r="C32" s="7" t="s">
        <v>12</v>
      </c>
      <c r="D32" s="8" t="s">
        <v>46</v>
      </c>
      <c r="E32" s="7" t="s">
        <v>20</v>
      </c>
      <c r="F32" s="7" t="s">
        <v>15</v>
      </c>
      <c r="G32" s="7" t="n">
        <v>0</v>
      </c>
      <c r="H32" s="7"/>
      <c r="I32" s="7"/>
      <c r="J32" s="9"/>
    </row>
    <row r="33" customFormat="false" ht="14.25" hidden="false" customHeight="false" outlineLevel="0" collapsed="false">
      <c r="A33" s="6" t="n">
        <v>32</v>
      </c>
      <c r="B33" s="7" t="s">
        <v>32</v>
      </c>
      <c r="C33" s="7" t="s">
        <v>22</v>
      </c>
      <c r="D33" s="8" t="s">
        <v>46</v>
      </c>
      <c r="E33" s="7" t="s">
        <v>23</v>
      </c>
      <c r="F33" s="7" t="s">
        <v>15</v>
      </c>
      <c r="G33" s="7" t="n">
        <v>0</v>
      </c>
      <c r="H33" s="7"/>
      <c r="I33" s="7"/>
      <c r="J33" s="9"/>
    </row>
    <row r="34" customFormat="false" ht="14.25" hidden="false" customHeight="false" outlineLevel="0" collapsed="false">
      <c r="A34" s="6" t="n">
        <v>33</v>
      </c>
      <c r="B34" s="7" t="s">
        <v>32</v>
      </c>
      <c r="C34" s="7" t="s">
        <v>25</v>
      </c>
      <c r="D34" s="8" t="s">
        <v>46</v>
      </c>
      <c r="E34" s="7" t="s">
        <v>25</v>
      </c>
      <c r="F34" s="7" t="s">
        <v>15</v>
      </c>
      <c r="G34" s="7" t="n">
        <v>0</v>
      </c>
      <c r="H34" s="7"/>
      <c r="I34" s="7"/>
      <c r="J34" s="9"/>
    </row>
    <row r="35" customFormat="false" ht="14.25" hidden="false" customHeight="false" outlineLevel="0" collapsed="false">
      <c r="A35" s="6" t="n">
        <v>34</v>
      </c>
      <c r="B35" s="7" t="s">
        <v>32</v>
      </c>
      <c r="C35" s="7" t="s">
        <v>12</v>
      </c>
      <c r="D35" s="8" t="s">
        <v>47</v>
      </c>
      <c r="E35" s="7" t="s">
        <v>14</v>
      </c>
      <c r="F35" s="7" t="s">
        <v>15</v>
      </c>
      <c r="G35" s="7" t="n">
        <v>0</v>
      </c>
      <c r="H35" s="7"/>
      <c r="I35" s="7"/>
      <c r="J35" s="9"/>
    </row>
    <row r="36" customFormat="false" ht="14.25" hidden="false" customHeight="false" outlineLevel="0" collapsed="false">
      <c r="A36" s="6" t="n">
        <v>35</v>
      </c>
      <c r="B36" s="7" t="s">
        <v>32</v>
      </c>
      <c r="C36" s="7" t="s">
        <v>16</v>
      </c>
      <c r="D36" s="8" t="s">
        <v>47</v>
      </c>
      <c r="E36" s="7" t="s">
        <v>17</v>
      </c>
      <c r="F36" s="7" t="s">
        <v>15</v>
      </c>
      <c r="G36" s="7" t="n">
        <v>0</v>
      </c>
      <c r="H36" s="7"/>
      <c r="I36" s="7"/>
      <c r="J36" s="9"/>
    </row>
    <row r="37" customFormat="false" ht="14.25" hidden="false" customHeight="false" outlineLevel="0" collapsed="false">
      <c r="A37" s="6" t="n">
        <v>36</v>
      </c>
      <c r="B37" s="7" t="s">
        <v>32</v>
      </c>
      <c r="C37" s="7" t="s">
        <v>12</v>
      </c>
      <c r="D37" s="8" t="s">
        <v>48</v>
      </c>
      <c r="E37" s="7" t="s">
        <v>20</v>
      </c>
      <c r="F37" s="7" t="s">
        <v>15</v>
      </c>
      <c r="G37" s="7" t="n">
        <v>0</v>
      </c>
      <c r="H37" s="7"/>
      <c r="I37" s="7"/>
      <c r="J37" s="9"/>
    </row>
    <row r="38" customFormat="false" ht="14.25" hidden="false" customHeight="false" outlineLevel="0" collapsed="false">
      <c r="A38" s="6" t="n">
        <v>37</v>
      </c>
      <c r="B38" s="7" t="s">
        <v>32</v>
      </c>
      <c r="C38" s="7" t="s">
        <v>22</v>
      </c>
      <c r="D38" s="8" t="s">
        <v>48</v>
      </c>
      <c r="E38" s="7" t="s">
        <v>23</v>
      </c>
      <c r="F38" s="7" t="s">
        <v>15</v>
      </c>
      <c r="G38" s="7" t="n">
        <v>0</v>
      </c>
      <c r="H38" s="7"/>
      <c r="I38" s="7"/>
      <c r="J38" s="9"/>
    </row>
    <row r="39" customFormat="false" ht="14.25" hidden="false" customHeight="false" outlineLevel="0" collapsed="false">
      <c r="A39" s="6" t="n">
        <v>38</v>
      </c>
      <c r="B39" s="7" t="s">
        <v>32</v>
      </c>
      <c r="C39" s="7" t="s">
        <v>25</v>
      </c>
      <c r="D39" s="8" t="s">
        <v>48</v>
      </c>
      <c r="E39" s="7" t="s">
        <v>25</v>
      </c>
      <c r="F39" s="7" t="s">
        <v>15</v>
      </c>
      <c r="G39" s="7" t="n">
        <v>0</v>
      </c>
      <c r="H39" s="7"/>
      <c r="I39" s="7"/>
      <c r="J39" s="9"/>
    </row>
    <row r="40" customFormat="false" ht="14.25" hidden="false" customHeight="false" outlineLevel="0" collapsed="false">
      <c r="A40" s="6" t="n">
        <v>39</v>
      </c>
      <c r="B40" s="7" t="s">
        <v>33</v>
      </c>
      <c r="C40" s="7" t="s">
        <v>12</v>
      </c>
      <c r="D40" s="8" t="s">
        <v>49</v>
      </c>
      <c r="E40" s="7" t="s">
        <v>14</v>
      </c>
      <c r="F40" s="7" t="s">
        <v>15</v>
      </c>
      <c r="G40" s="7" t="n">
        <v>0</v>
      </c>
      <c r="H40" s="7"/>
      <c r="I40" s="7"/>
      <c r="J40" s="9"/>
    </row>
    <row r="41" customFormat="false" ht="14.25" hidden="false" customHeight="false" outlineLevel="0" collapsed="false">
      <c r="A41" s="6" t="n">
        <v>40</v>
      </c>
      <c r="B41" s="7" t="s">
        <v>33</v>
      </c>
      <c r="C41" s="7" t="s">
        <v>16</v>
      </c>
      <c r="D41" s="8" t="s">
        <v>49</v>
      </c>
      <c r="E41" s="7" t="s">
        <v>17</v>
      </c>
      <c r="F41" s="7" t="s">
        <v>15</v>
      </c>
      <c r="G41" s="7" t="n">
        <v>0</v>
      </c>
      <c r="H41" s="7"/>
      <c r="I41" s="7"/>
      <c r="J41" s="9"/>
    </row>
    <row r="42" customFormat="false" ht="14.25" hidden="false" customHeight="false" outlineLevel="0" collapsed="false">
      <c r="A42" s="6" t="n">
        <v>41</v>
      </c>
      <c r="B42" s="7" t="s">
        <v>33</v>
      </c>
      <c r="C42" s="7" t="s">
        <v>12</v>
      </c>
      <c r="D42" s="8" t="s">
        <v>50</v>
      </c>
      <c r="E42" s="7" t="s">
        <v>20</v>
      </c>
      <c r="F42" s="7" t="s">
        <v>15</v>
      </c>
      <c r="G42" s="7" t="n">
        <v>0</v>
      </c>
      <c r="H42" s="7"/>
      <c r="I42" s="7"/>
      <c r="J42" s="9"/>
    </row>
    <row r="43" customFormat="false" ht="14.25" hidden="false" customHeight="false" outlineLevel="0" collapsed="false">
      <c r="A43" s="6" t="n">
        <v>42</v>
      </c>
      <c r="B43" s="7" t="s">
        <v>33</v>
      </c>
      <c r="C43" s="7" t="s">
        <v>22</v>
      </c>
      <c r="D43" s="8" t="s">
        <v>50</v>
      </c>
      <c r="E43" s="7" t="s">
        <v>23</v>
      </c>
      <c r="F43" s="7" t="s">
        <v>15</v>
      </c>
      <c r="G43" s="7" t="n">
        <v>0</v>
      </c>
      <c r="H43" s="7"/>
      <c r="I43" s="7"/>
      <c r="J43" s="9"/>
    </row>
    <row r="44" customFormat="false" ht="14.25" hidden="false" customHeight="false" outlineLevel="0" collapsed="false">
      <c r="A44" s="6" t="n">
        <v>43</v>
      </c>
      <c r="B44" s="7" t="s">
        <v>33</v>
      </c>
      <c r="C44" s="7" t="s">
        <v>25</v>
      </c>
      <c r="D44" s="8" t="s">
        <v>50</v>
      </c>
      <c r="E44" s="7" t="s">
        <v>25</v>
      </c>
      <c r="F44" s="7" t="s">
        <v>15</v>
      </c>
      <c r="G44" s="7" t="n">
        <v>0</v>
      </c>
      <c r="H44" s="7"/>
      <c r="I44" s="7"/>
      <c r="J44" s="9"/>
    </row>
    <row r="45" customFormat="false" ht="14.25" hidden="false" customHeight="false" outlineLevel="0" collapsed="false">
      <c r="A45" s="6" t="n">
        <v>44</v>
      </c>
      <c r="B45" s="7" t="s">
        <v>33</v>
      </c>
      <c r="C45" s="7" t="s">
        <v>12</v>
      </c>
      <c r="D45" s="8" t="s">
        <v>51</v>
      </c>
      <c r="E45" s="7" t="s">
        <v>28</v>
      </c>
      <c r="F45" s="7" t="s">
        <v>15</v>
      </c>
      <c r="G45" s="7" t="n">
        <v>0</v>
      </c>
      <c r="H45" s="7"/>
      <c r="I45" s="7"/>
      <c r="J45" s="9"/>
    </row>
    <row r="46" customFormat="false" ht="14.25" hidden="false" customHeight="false" outlineLevel="0" collapsed="false">
      <c r="A46" s="6" t="n">
        <v>45</v>
      </c>
      <c r="B46" s="7" t="s">
        <v>33</v>
      </c>
      <c r="C46" s="7" t="s">
        <v>22</v>
      </c>
      <c r="D46" s="8" t="s">
        <v>52</v>
      </c>
      <c r="E46" s="7" t="s">
        <v>43</v>
      </c>
      <c r="F46" s="7" t="s">
        <v>15</v>
      </c>
      <c r="G46" s="7" t="n">
        <v>0</v>
      </c>
      <c r="H46" s="7"/>
      <c r="I46" s="7"/>
      <c r="J46" s="9"/>
    </row>
    <row r="47" customFormat="false" ht="14.25" hidden="false" customHeight="false" outlineLevel="0" collapsed="false">
      <c r="A47" s="6" t="n">
        <v>46</v>
      </c>
      <c r="B47" s="7" t="s">
        <v>33</v>
      </c>
      <c r="C47" s="7" t="s">
        <v>12</v>
      </c>
      <c r="D47" s="8" t="s">
        <v>53</v>
      </c>
      <c r="E47" s="7" t="s">
        <v>14</v>
      </c>
      <c r="F47" s="7" t="s">
        <v>15</v>
      </c>
      <c r="G47" s="7" t="n">
        <v>0</v>
      </c>
      <c r="H47" s="7"/>
      <c r="I47" s="7"/>
      <c r="J47" s="9"/>
    </row>
    <row r="48" customFormat="false" ht="14.25" hidden="false" customHeight="false" outlineLevel="0" collapsed="false">
      <c r="A48" s="6" t="n">
        <v>47</v>
      </c>
      <c r="B48" s="7" t="s">
        <v>33</v>
      </c>
      <c r="C48" s="7" t="s">
        <v>16</v>
      </c>
      <c r="D48" s="8" t="s">
        <v>53</v>
      </c>
      <c r="E48" s="7" t="s">
        <v>17</v>
      </c>
      <c r="F48" s="7" t="s">
        <v>15</v>
      </c>
      <c r="G48" s="7" t="n">
        <v>0</v>
      </c>
      <c r="H48" s="7"/>
      <c r="I48" s="7"/>
      <c r="J48" s="9"/>
    </row>
    <row r="49" customFormat="false" ht="14.25" hidden="false" customHeight="false" outlineLevel="0" collapsed="false">
      <c r="A49" s="6" t="n">
        <v>48</v>
      </c>
      <c r="B49" s="7" t="s">
        <v>33</v>
      </c>
      <c r="C49" s="7" t="s">
        <v>12</v>
      </c>
      <c r="D49" s="8" t="s">
        <v>54</v>
      </c>
      <c r="E49" s="7" t="s">
        <v>20</v>
      </c>
      <c r="F49" s="7" t="s">
        <v>15</v>
      </c>
      <c r="G49" s="7" t="n">
        <v>0</v>
      </c>
      <c r="H49" s="7"/>
      <c r="I49" s="7"/>
      <c r="J49" s="9"/>
    </row>
    <row r="50" customFormat="false" ht="14.25" hidden="false" customHeight="false" outlineLevel="0" collapsed="false">
      <c r="A50" s="6" t="n">
        <v>49</v>
      </c>
      <c r="B50" s="7" t="s">
        <v>33</v>
      </c>
      <c r="C50" s="7" t="s">
        <v>22</v>
      </c>
      <c r="D50" s="8" t="s">
        <v>54</v>
      </c>
      <c r="E50" s="7" t="s">
        <v>23</v>
      </c>
      <c r="F50" s="7" t="s">
        <v>15</v>
      </c>
      <c r="G50" s="7" t="n">
        <v>0</v>
      </c>
      <c r="H50" s="7"/>
      <c r="I50" s="7"/>
      <c r="J50" s="9"/>
    </row>
    <row r="51" customFormat="false" ht="14.25" hidden="false" customHeight="false" outlineLevel="0" collapsed="false">
      <c r="A51" s="6" t="n">
        <v>50</v>
      </c>
      <c r="B51" s="7" t="s">
        <v>33</v>
      </c>
      <c r="C51" s="7" t="s">
        <v>25</v>
      </c>
      <c r="D51" s="8" t="s">
        <v>54</v>
      </c>
      <c r="E51" s="7" t="s">
        <v>25</v>
      </c>
      <c r="F51" s="7" t="s">
        <v>15</v>
      </c>
      <c r="G51" s="7" t="n">
        <v>0</v>
      </c>
      <c r="H51" s="7"/>
      <c r="I51" s="7"/>
      <c r="J51" s="9"/>
    </row>
    <row r="52" customFormat="false" ht="14.25" hidden="false" customHeight="false" outlineLevel="0" collapsed="false">
      <c r="A52" s="6" t="n">
        <v>51</v>
      </c>
      <c r="B52" s="7" t="s">
        <v>33</v>
      </c>
      <c r="C52" s="7" t="s">
        <v>12</v>
      </c>
      <c r="D52" s="8" t="s">
        <v>55</v>
      </c>
      <c r="E52" s="7" t="s">
        <v>28</v>
      </c>
      <c r="F52" s="7" t="s">
        <v>15</v>
      </c>
      <c r="G52" s="7" t="n">
        <v>0</v>
      </c>
      <c r="H52" s="7"/>
      <c r="I52" s="7"/>
      <c r="J52" s="9"/>
    </row>
    <row r="53" customFormat="false" ht="14.25" hidden="false" customHeight="false" outlineLevel="0" collapsed="false">
      <c r="A53" s="6" t="n">
        <v>52</v>
      </c>
      <c r="B53" s="7" t="s">
        <v>33</v>
      </c>
      <c r="C53" s="7" t="s">
        <v>12</v>
      </c>
      <c r="D53" s="8" t="s">
        <v>56</v>
      </c>
      <c r="E53" s="7" t="s">
        <v>14</v>
      </c>
      <c r="F53" s="7" t="s">
        <v>15</v>
      </c>
      <c r="G53" s="7" t="n">
        <v>0</v>
      </c>
      <c r="H53" s="7"/>
      <c r="I53" s="7"/>
      <c r="J53" s="9"/>
    </row>
    <row r="54" customFormat="false" ht="14.25" hidden="false" customHeight="false" outlineLevel="0" collapsed="false">
      <c r="A54" s="6" t="n">
        <v>53</v>
      </c>
      <c r="B54" s="7" t="s">
        <v>33</v>
      </c>
      <c r="C54" s="7" t="s">
        <v>16</v>
      </c>
      <c r="D54" s="8" t="s">
        <v>56</v>
      </c>
      <c r="E54" s="7" t="s">
        <v>17</v>
      </c>
      <c r="F54" s="7" t="s">
        <v>15</v>
      </c>
      <c r="G54" s="7" t="n">
        <v>0</v>
      </c>
      <c r="H54" s="7"/>
      <c r="I54" s="7"/>
      <c r="J54" s="9"/>
    </row>
    <row r="55" customFormat="false" ht="14.25" hidden="false" customHeight="false" outlineLevel="0" collapsed="false">
      <c r="A55" s="6" t="n">
        <v>54</v>
      </c>
      <c r="B55" s="7" t="s">
        <v>33</v>
      </c>
      <c r="C55" s="7" t="s">
        <v>12</v>
      </c>
      <c r="D55" s="8" t="s">
        <v>57</v>
      </c>
      <c r="E55" s="7" t="s">
        <v>20</v>
      </c>
      <c r="F55" s="7" t="s">
        <v>15</v>
      </c>
      <c r="G55" s="7" t="n">
        <v>0</v>
      </c>
      <c r="H55" s="7"/>
      <c r="I55" s="7"/>
      <c r="J55" s="9"/>
    </row>
    <row r="56" customFormat="false" ht="14.25" hidden="false" customHeight="false" outlineLevel="0" collapsed="false">
      <c r="A56" s="6" t="n">
        <v>55</v>
      </c>
      <c r="B56" s="7" t="s">
        <v>33</v>
      </c>
      <c r="C56" s="7" t="s">
        <v>22</v>
      </c>
      <c r="D56" s="8" t="s">
        <v>57</v>
      </c>
      <c r="E56" s="7" t="s">
        <v>23</v>
      </c>
      <c r="F56" s="7" t="s">
        <v>15</v>
      </c>
      <c r="G56" s="7" t="n">
        <v>0</v>
      </c>
      <c r="H56" s="7"/>
      <c r="I56" s="7"/>
      <c r="J56" s="9"/>
    </row>
    <row r="57" customFormat="false" ht="14.25" hidden="false" customHeight="false" outlineLevel="0" collapsed="false">
      <c r="A57" s="6" t="n">
        <v>56</v>
      </c>
      <c r="B57" s="7" t="s">
        <v>33</v>
      </c>
      <c r="C57" s="7" t="s">
        <v>25</v>
      </c>
      <c r="D57" s="8" t="s">
        <v>57</v>
      </c>
      <c r="E57" s="7" t="s">
        <v>25</v>
      </c>
      <c r="F57" s="7" t="s">
        <v>15</v>
      </c>
      <c r="G57" s="7" t="n">
        <v>0</v>
      </c>
      <c r="H57" s="7"/>
      <c r="I57" s="7"/>
      <c r="J57" s="9"/>
    </row>
    <row r="58" customFormat="false" ht="14.25" hidden="false" customHeight="false" outlineLevel="0" collapsed="false">
      <c r="A58" s="6" t="n">
        <v>57</v>
      </c>
      <c r="B58" s="7" t="s">
        <v>33</v>
      </c>
      <c r="C58" s="7" t="s">
        <v>12</v>
      </c>
      <c r="D58" s="8" t="s">
        <v>58</v>
      </c>
      <c r="E58" s="7" t="s">
        <v>28</v>
      </c>
      <c r="F58" s="7" t="s">
        <v>15</v>
      </c>
      <c r="G58" s="7" t="n">
        <v>0</v>
      </c>
      <c r="H58" s="7"/>
      <c r="I58" s="7"/>
      <c r="J58" s="9"/>
    </row>
    <row r="59" customFormat="false" ht="14.25" hidden="false" customHeight="false" outlineLevel="0" collapsed="false">
      <c r="A59" s="6" t="n">
        <v>58</v>
      </c>
      <c r="B59" s="7" t="s">
        <v>34</v>
      </c>
      <c r="C59" s="7" t="s">
        <v>12</v>
      </c>
      <c r="D59" s="8" t="s">
        <v>59</v>
      </c>
      <c r="E59" s="7" t="s">
        <v>14</v>
      </c>
      <c r="F59" s="7" t="s">
        <v>15</v>
      </c>
      <c r="G59" s="7" t="n">
        <v>0</v>
      </c>
      <c r="H59" s="7"/>
      <c r="I59" s="7"/>
      <c r="J59" s="9"/>
    </row>
    <row r="60" customFormat="false" ht="14.25" hidden="false" customHeight="false" outlineLevel="0" collapsed="false">
      <c r="A60" s="6" t="n">
        <v>59</v>
      </c>
      <c r="B60" s="7" t="s">
        <v>34</v>
      </c>
      <c r="C60" s="7" t="s">
        <v>16</v>
      </c>
      <c r="D60" s="8" t="s">
        <v>59</v>
      </c>
      <c r="E60" s="7" t="s">
        <v>17</v>
      </c>
      <c r="F60" s="7" t="s">
        <v>15</v>
      </c>
      <c r="G60" s="7" t="n">
        <v>0</v>
      </c>
      <c r="H60" s="7"/>
      <c r="I60" s="7"/>
      <c r="J60" s="9"/>
    </row>
    <row r="61" customFormat="false" ht="14.25" hidden="false" customHeight="false" outlineLevel="0" collapsed="false">
      <c r="A61" s="6" t="n">
        <v>60</v>
      </c>
      <c r="B61" s="7" t="s">
        <v>34</v>
      </c>
      <c r="C61" s="7" t="s">
        <v>12</v>
      </c>
      <c r="D61" s="8" t="s">
        <v>60</v>
      </c>
      <c r="E61" s="7" t="s">
        <v>20</v>
      </c>
      <c r="F61" s="7" t="s">
        <v>15</v>
      </c>
      <c r="G61" s="7" t="n">
        <v>0</v>
      </c>
      <c r="H61" s="7"/>
      <c r="I61" s="7"/>
      <c r="J61" s="9"/>
    </row>
    <row r="62" customFormat="false" ht="14.25" hidden="false" customHeight="false" outlineLevel="0" collapsed="false">
      <c r="A62" s="6" t="n">
        <v>61</v>
      </c>
      <c r="B62" s="7" t="s">
        <v>34</v>
      </c>
      <c r="C62" s="7" t="s">
        <v>22</v>
      </c>
      <c r="D62" s="8" t="s">
        <v>60</v>
      </c>
      <c r="E62" s="7" t="s">
        <v>23</v>
      </c>
      <c r="F62" s="7" t="s">
        <v>15</v>
      </c>
      <c r="G62" s="7" t="n">
        <v>0</v>
      </c>
      <c r="H62" s="7"/>
      <c r="I62" s="7"/>
      <c r="J62" s="9"/>
    </row>
    <row r="63" customFormat="false" ht="14.25" hidden="false" customHeight="false" outlineLevel="0" collapsed="false">
      <c r="A63" s="6" t="n">
        <v>62</v>
      </c>
      <c r="B63" s="7" t="s">
        <v>34</v>
      </c>
      <c r="C63" s="7" t="s">
        <v>25</v>
      </c>
      <c r="D63" s="8" t="s">
        <v>60</v>
      </c>
      <c r="E63" s="7" t="s">
        <v>25</v>
      </c>
      <c r="F63" s="7" t="s">
        <v>15</v>
      </c>
      <c r="G63" s="7" t="n">
        <v>0</v>
      </c>
      <c r="H63" s="7"/>
      <c r="I63" s="7"/>
      <c r="J63" s="9"/>
    </row>
    <row r="64" customFormat="false" ht="14.25" hidden="false" customHeight="false" outlineLevel="0" collapsed="false">
      <c r="A64" s="6" t="n">
        <v>63</v>
      </c>
      <c r="B64" s="7" t="s">
        <v>34</v>
      </c>
      <c r="C64" s="7" t="s">
        <v>12</v>
      </c>
      <c r="D64" s="8" t="s">
        <v>61</v>
      </c>
      <c r="E64" s="7" t="s">
        <v>28</v>
      </c>
      <c r="F64" s="7" t="s">
        <v>15</v>
      </c>
      <c r="G64" s="7" t="n">
        <v>0</v>
      </c>
      <c r="H64" s="7"/>
      <c r="I64" s="7"/>
      <c r="J64" s="9"/>
    </row>
    <row r="65" customFormat="false" ht="14.25" hidden="false" customHeight="false" outlineLevel="0" collapsed="false">
      <c r="A65" s="6" t="n">
        <v>64</v>
      </c>
      <c r="B65" s="7" t="s">
        <v>34</v>
      </c>
      <c r="C65" s="7" t="s">
        <v>22</v>
      </c>
      <c r="D65" s="8" t="s">
        <v>61</v>
      </c>
      <c r="E65" s="7" t="s">
        <v>43</v>
      </c>
      <c r="F65" s="7" t="s">
        <v>15</v>
      </c>
      <c r="G65" s="7" t="n">
        <v>0</v>
      </c>
      <c r="H65" s="7"/>
      <c r="I65" s="7"/>
      <c r="J65" s="9"/>
    </row>
    <row r="66" customFormat="false" ht="14.25" hidden="false" customHeight="false" outlineLevel="0" collapsed="false">
      <c r="A66" s="6" t="n">
        <v>65</v>
      </c>
      <c r="B66" s="7" t="s">
        <v>34</v>
      </c>
      <c r="C66" s="7" t="s">
        <v>12</v>
      </c>
      <c r="D66" s="8" t="s">
        <v>62</v>
      </c>
      <c r="E66" s="7" t="s">
        <v>14</v>
      </c>
      <c r="F66" s="7" t="s">
        <v>15</v>
      </c>
      <c r="G66" s="7" t="n">
        <v>0</v>
      </c>
      <c r="H66" s="7"/>
      <c r="I66" s="7"/>
      <c r="J66" s="9"/>
    </row>
    <row r="67" customFormat="false" ht="14.25" hidden="false" customHeight="false" outlineLevel="0" collapsed="false">
      <c r="A67" s="6" t="n">
        <v>66</v>
      </c>
      <c r="B67" s="7" t="s">
        <v>34</v>
      </c>
      <c r="C67" s="7" t="s">
        <v>16</v>
      </c>
      <c r="D67" s="8" t="s">
        <v>62</v>
      </c>
      <c r="E67" s="7" t="s">
        <v>17</v>
      </c>
      <c r="F67" s="7" t="s">
        <v>15</v>
      </c>
      <c r="G67" s="7" t="n">
        <v>0</v>
      </c>
      <c r="H67" s="7"/>
      <c r="I67" s="7"/>
      <c r="J67" s="9"/>
    </row>
    <row r="68" customFormat="false" ht="14.25" hidden="false" customHeight="false" outlineLevel="0" collapsed="false">
      <c r="A68" s="6" t="n">
        <v>67</v>
      </c>
      <c r="B68" s="7" t="s">
        <v>34</v>
      </c>
      <c r="C68" s="7" t="s">
        <v>12</v>
      </c>
      <c r="D68" s="8" t="s">
        <v>63</v>
      </c>
      <c r="E68" s="7" t="s">
        <v>20</v>
      </c>
      <c r="F68" s="7" t="s">
        <v>15</v>
      </c>
      <c r="G68" s="7" t="n">
        <v>0</v>
      </c>
      <c r="H68" s="7"/>
      <c r="I68" s="7"/>
      <c r="J68" s="9"/>
    </row>
    <row r="69" customFormat="false" ht="14.25" hidden="false" customHeight="false" outlineLevel="0" collapsed="false">
      <c r="A69" s="6" t="n">
        <v>68</v>
      </c>
      <c r="B69" s="7" t="s">
        <v>34</v>
      </c>
      <c r="C69" s="7" t="s">
        <v>22</v>
      </c>
      <c r="D69" s="8" t="s">
        <v>63</v>
      </c>
      <c r="E69" s="7" t="s">
        <v>23</v>
      </c>
      <c r="F69" s="7" t="s">
        <v>15</v>
      </c>
      <c r="G69" s="7" t="n">
        <v>0</v>
      </c>
      <c r="H69" s="7"/>
      <c r="I69" s="7"/>
      <c r="J69" s="9"/>
    </row>
    <row r="70" customFormat="false" ht="14.25" hidden="false" customHeight="false" outlineLevel="0" collapsed="false">
      <c r="A70" s="6" t="n">
        <v>69</v>
      </c>
      <c r="B70" s="7" t="s">
        <v>34</v>
      </c>
      <c r="C70" s="7" t="s">
        <v>25</v>
      </c>
      <c r="D70" s="8" t="s">
        <v>63</v>
      </c>
      <c r="E70" s="7" t="s">
        <v>25</v>
      </c>
      <c r="F70" s="7" t="s">
        <v>15</v>
      </c>
      <c r="G70" s="7" t="n">
        <v>0</v>
      </c>
      <c r="H70" s="7"/>
      <c r="I70" s="7"/>
      <c r="J70" s="9"/>
    </row>
    <row r="71" customFormat="false" ht="14.25" hidden="false" customHeight="false" outlineLevel="0" collapsed="false">
      <c r="A71" s="6" t="n">
        <v>70</v>
      </c>
      <c r="B71" s="7" t="s">
        <v>34</v>
      </c>
      <c r="C71" s="7" t="s">
        <v>12</v>
      </c>
      <c r="D71" s="8" t="s">
        <v>64</v>
      </c>
      <c r="E71" s="7" t="s">
        <v>28</v>
      </c>
      <c r="F71" s="7" t="s">
        <v>15</v>
      </c>
      <c r="G71" s="7" t="n">
        <v>0</v>
      </c>
      <c r="H71" s="7"/>
      <c r="I71" s="7"/>
      <c r="J71" s="9"/>
    </row>
    <row r="72" customFormat="false" ht="14.25" hidden="false" customHeight="false" outlineLevel="0" collapsed="false">
      <c r="A72" s="6" t="n">
        <v>71</v>
      </c>
      <c r="B72" s="7" t="s">
        <v>34</v>
      </c>
      <c r="C72" s="7" t="s">
        <v>12</v>
      </c>
      <c r="D72" s="8" t="s">
        <v>65</v>
      </c>
      <c r="E72" s="7" t="s">
        <v>14</v>
      </c>
      <c r="F72" s="7" t="s">
        <v>15</v>
      </c>
      <c r="G72" s="7" t="n">
        <v>0</v>
      </c>
      <c r="H72" s="7"/>
      <c r="I72" s="7"/>
      <c r="J72" s="9"/>
    </row>
    <row r="73" customFormat="false" ht="14.25" hidden="false" customHeight="false" outlineLevel="0" collapsed="false">
      <c r="A73" s="6" t="n">
        <v>72</v>
      </c>
      <c r="B73" s="7" t="s">
        <v>34</v>
      </c>
      <c r="C73" s="7" t="s">
        <v>16</v>
      </c>
      <c r="D73" s="8" t="s">
        <v>65</v>
      </c>
      <c r="E73" s="7" t="s">
        <v>17</v>
      </c>
      <c r="F73" s="7" t="s">
        <v>15</v>
      </c>
      <c r="G73" s="7" t="n">
        <v>0</v>
      </c>
      <c r="H73" s="7"/>
      <c r="I73" s="7"/>
      <c r="J73" s="9"/>
    </row>
    <row r="74" customFormat="false" ht="14.25" hidden="false" customHeight="false" outlineLevel="0" collapsed="false">
      <c r="A74" s="6" t="n">
        <v>73</v>
      </c>
      <c r="B74" s="7" t="s">
        <v>34</v>
      </c>
      <c r="C74" s="7" t="s">
        <v>12</v>
      </c>
      <c r="D74" s="8" t="s">
        <v>66</v>
      </c>
      <c r="E74" s="7" t="s">
        <v>20</v>
      </c>
      <c r="F74" s="7" t="s">
        <v>15</v>
      </c>
      <c r="G74" s="7" t="n">
        <v>0</v>
      </c>
      <c r="H74" s="7"/>
      <c r="I74" s="7"/>
      <c r="J74" s="9"/>
    </row>
    <row r="75" customFormat="false" ht="14.25" hidden="false" customHeight="false" outlineLevel="0" collapsed="false">
      <c r="A75" s="6" t="n">
        <v>74</v>
      </c>
      <c r="B75" s="7" t="s">
        <v>34</v>
      </c>
      <c r="C75" s="7" t="s">
        <v>22</v>
      </c>
      <c r="D75" s="8" t="s">
        <v>66</v>
      </c>
      <c r="E75" s="7" t="s">
        <v>23</v>
      </c>
      <c r="F75" s="7" t="s">
        <v>15</v>
      </c>
      <c r="G75" s="7" t="n">
        <v>0</v>
      </c>
      <c r="H75" s="7"/>
      <c r="I75" s="7"/>
      <c r="J75" s="9"/>
    </row>
    <row r="76" customFormat="false" ht="14.25" hidden="false" customHeight="false" outlineLevel="0" collapsed="false">
      <c r="A76" s="6" t="n">
        <v>75</v>
      </c>
      <c r="B76" s="7" t="s">
        <v>34</v>
      </c>
      <c r="C76" s="7" t="s">
        <v>25</v>
      </c>
      <c r="D76" s="8" t="s">
        <v>66</v>
      </c>
      <c r="E76" s="7" t="s">
        <v>25</v>
      </c>
      <c r="F76" s="7" t="s">
        <v>15</v>
      </c>
      <c r="G76" s="7" t="n">
        <v>0</v>
      </c>
      <c r="H76" s="7"/>
      <c r="I76" s="7"/>
      <c r="J76" s="9"/>
    </row>
    <row r="77" customFormat="false" ht="14.25" hidden="false" customHeight="false" outlineLevel="0" collapsed="false">
      <c r="A77" s="11" t="n">
        <v>76</v>
      </c>
      <c r="B77" s="12" t="s">
        <v>34</v>
      </c>
      <c r="C77" s="12" t="s">
        <v>12</v>
      </c>
      <c r="D77" s="13" t="s">
        <v>67</v>
      </c>
      <c r="E77" s="12" t="s">
        <v>28</v>
      </c>
      <c r="F77" s="12" t="s">
        <v>15</v>
      </c>
      <c r="G77" s="12" t="n">
        <v>0</v>
      </c>
      <c r="H77" s="7"/>
      <c r="I77" s="12"/>
      <c r="J77" s="14"/>
    </row>
  </sheetData>
  <dataValidations count="1">
    <dataValidation allowBlank="true" errorStyle="stop" operator="between" showDropDown="false" showErrorMessage="false" showInputMessage="false" sqref="F2:F77" type="list">
      <formula1>"Not Started,Pass,Fail,Blocked,N/A"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8" min="5" style="0" width="16"/>
    <col collapsed="false" customWidth="true" hidden="false" outlineLevel="0" max="19" min="19" style="0" width="10"/>
    <col collapsed="false" customWidth="true" hidden="false" outlineLevel="0" max="21" min="20" style="0" width="14"/>
    <col collapsed="false" customWidth="true" hidden="false" outlineLevel="0" max="22" min="22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7</v>
      </c>
      <c r="U1" s="3" t="s">
        <v>8</v>
      </c>
      <c r="V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12</v>
      </c>
      <c r="D2" s="8" t="s">
        <v>13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84</v>
      </c>
      <c r="T2" s="7"/>
      <c r="U2" s="7"/>
      <c r="V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12</v>
      </c>
      <c r="D3" s="8" t="s">
        <v>29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84</v>
      </c>
      <c r="T3" s="7"/>
      <c r="U3" s="7"/>
      <c r="V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12</v>
      </c>
      <c r="D4" s="8" t="s">
        <v>37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15</v>
      </c>
      <c r="S4" s="7" t="s">
        <v>84</v>
      </c>
      <c r="T4" s="7"/>
      <c r="U4" s="7"/>
      <c r="V4" s="8"/>
    </row>
    <row r="5" customFormat="false" ht="14.25" hidden="false" customHeight="false" outlineLevel="0" collapsed="false">
      <c r="A5" s="7" t="n">
        <v>4</v>
      </c>
      <c r="B5" s="7" t="s">
        <v>85</v>
      </c>
      <c r="C5" s="7" t="s">
        <v>12</v>
      </c>
      <c r="D5" s="8" t="s">
        <v>40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84</v>
      </c>
      <c r="T5" s="7"/>
      <c r="U5" s="7"/>
      <c r="V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12</v>
      </c>
      <c r="D6" s="8" t="s">
        <v>45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15</v>
      </c>
      <c r="S6" s="7" t="s">
        <v>84</v>
      </c>
      <c r="T6" s="7"/>
      <c r="U6" s="7"/>
      <c r="V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12</v>
      </c>
      <c r="D7" s="8" t="s">
        <v>47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84</v>
      </c>
      <c r="T7" s="7"/>
      <c r="U7" s="7"/>
      <c r="V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12</v>
      </c>
      <c r="D8" s="8" t="s">
        <v>49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84</v>
      </c>
      <c r="T8" s="7"/>
      <c r="U8" s="7"/>
      <c r="V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12</v>
      </c>
      <c r="D9" s="8" t="s">
        <v>53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84</v>
      </c>
      <c r="T9" s="7"/>
      <c r="U9" s="7"/>
      <c r="V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12</v>
      </c>
      <c r="D10" s="8" t="s">
        <v>56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84</v>
      </c>
      <c r="T10" s="7"/>
      <c r="U10" s="7"/>
      <c r="V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12</v>
      </c>
      <c r="D11" s="8" t="s">
        <v>59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84</v>
      </c>
      <c r="T11" s="7"/>
      <c r="U11" s="7"/>
      <c r="V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12</v>
      </c>
      <c r="D12" s="8" t="s">
        <v>62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84</v>
      </c>
      <c r="T12" s="7"/>
      <c r="U12" s="7"/>
      <c r="V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12</v>
      </c>
      <c r="D13" s="8" t="s">
        <v>65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15</v>
      </c>
      <c r="S13" s="7" t="s">
        <v>84</v>
      </c>
      <c r="T13" s="7"/>
      <c r="U13" s="7"/>
      <c r="V13" s="8"/>
    </row>
  </sheetData>
  <dataValidations count="2">
    <dataValidation allowBlank="true" errorStyle="stop" operator="between" showDropDown="false" showErrorMessage="false" showInputMessage="false" sqref="E2:R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S2:S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5" min="5" style="0" width="16"/>
    <col collapsed="false" customWidth="true" hidden="false" outlineLevel="0" max="16" min="16" style="0" width="10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7</v>
      </c>
      <c r="R1" s="3" t="s">
        <v>8</v>
      </c>
      <c r="S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12</v>
      </c>
      <c r="D2" s="8" t="s">
        <v>19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84</v>
      </c>
      <c r="Q2" s="7"/>
      <c r="R2" s="7"/>
      <c r="S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12</v>
      </c>
      <c r="D3" s="8" t="s">
        <v>31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84</v>
      </c>
      <c r="Q3" s="7"/>
      <c r="R3" s="7"/>
      <c r="S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12</v>
      </c>
      <c r="D4" s="8" t="s">
        <v>38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84</v>
      </c>
      <c r="Q4" s="7"/>
      <c r="R4" s="7"/>
      <c r="S4" s="8"/>
    </row>
    <row r="5" customFormat="false" ht="14.25" hidden="false" customHeight="false" outlineLevel="0" collapsed="false">
      <c r="A5" s="7" t="n">
        <v>4</v>
      </c>
      <c r="B5" s="7" t="s">
        <v>85</v>
      </c>
      <c r="C5" s="7" t="s">
        <v>12</v>
      </c>
      <c r="D5" s="8" t="s">
        <v>41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84</v>
      </c>
      <c r="Q5" s="7"/>
      <c r="R5" s="7"/>
      <c r="S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12</v>
      </c>
      <c r="D6" s="8" t="s">
        <v>46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84</v>
      </c>
      <c r="Q6" s="7"/>
      <c r="R6" s="7"/>
      <c r="S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12</v>
      </c>
      <c r="D7" s="8" t="s">
        <v>48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84</v>
      </c>
      <c r="Q7" s="7"/>
      <c r="R7" s="7"/>
      <c r="S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12</v>
      </c>
      <c r="D8" s="8" t="s">
        <v>50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84</v>
      </c>
      <c r="Q8" s="7"/>
      <c r="R8" s="7"/>
      <c r="S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12</v>
      </c>
      <c r="D9" s="8" t="s">
        <v>54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84</v>
      </c>
      <c r="Q9" s="7"/>
      <c r="R9" s="7"/>
      <c r="S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12</v>
      </c>
      <c r="D10" s="8" t="s">
        <v>57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84</v>
      </c>
      <c r="Q10" s="7"/>
      <c r="R10" s="7"/>
      <c r="S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12</v>
      </c>
      <c r="D11" s="8" t="s">
        <v>60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84</v>
      </c>
      <c r="Q11" s="7"/>
      <c r="R11" s="7"/>
      <c r="S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12</v>
      </c>
      <c r="D12" s="8" t="s">
        <v>63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84</v>
      </c>
      <c r="Q12" s="7"/>
      <c r="R12" s="7"/>
      <c r="S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12</v>
      </c>
      <c r="D13" s="8" t="s">
        <v>66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84</v>
      </c>
      <c r="Q13" s="7"/>
      <c r="R13" s="7"/>
      <c r="S13" s="8"/>
    </row>
  </sheetData>
  <dataValidations count="2">
    <dataValidation allowBlank="true" errorStyle="stop" operator="between" showDropDown="false" showErrorMessage="false" showInputMessage="false" sqref="E2:O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P2:P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8" min="5" style="0" width="16"/>
    <col collapsed="false" customWidth="true" hidden="false" outlineLevel="0" max="19" min="19" style="0" width="10"/>
    <col collapsed="false" customWidth="true" hidden="false" outlineLevel="0" max="21" min="20" style="0" width="14"/>
    <col collapsed="false" customWidth="true" hidden="false" outlineLevel="0" max="22" min="22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7</v>
      </c>
      <c r="U1" s="3" t="s">
        <v>8</v>
      </c>
      <c r="V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16</v>
      </c>
      <c r="D2" s="8" t="s">
        <v>13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84</v>
      </c>
      <c r="T2" s="7"/>
      <c r="U2" s="7"/>
      <c r="V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16</v>
      </c>
      <c r="D3" s="8" t="s">
        <v>29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84</v>
      </c>
      <c r="T3" s="7"/>
      <c r="U3" s="7"/>
      <c r="V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16</v>
      </c>
      <c r="D4" s="8" t="s">
        <v>37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15</v>
      </c>
      <c r="S4" s="7" t="s">
        <v>84</v>
      </c>
      <c r="T4" s="7"/>
      <c r="U4" s="7"/>
      <c r="V4" s="8"/>
    </row>
    <row r="5" customFormat="false" ht="14.25" hidden="false" customHeight="false" outlineLevel="0" collapsed="false">
      <c r="A5" s="7" t="n">
        <v>4</v>
      </c>
      <c r="B5" s="7" t="s">
        <v>85</v>
      </c>
      <c r="C5" s="7" t="s">
        <v>16</v>
      </c>
      <c r="D5" s="8" t="s">
        <v>40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84</v>
      </c>
      <c r="T5" s="7"/>
      <c r="U5" s="7"/>
      <c r="V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16</v>
      </c>
      <c r="D6" s="8" t="s">
        <v>45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15</v>
      </c>
      <c r="S6" s="7" t="s">
        <v>84</v>
      </c>
      <c r="T6" s="7"/>
      <c r="U6" s="7"/>
      <c r="V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16</v>
      </c>
      <c r="D7" s="8" t="s">
        <v>47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84</v>
      </c>
      <c r="T7" s="7"/>
      <c r="U7" s="7"/>
      <c r="V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16</v>
      </c>
      <c r="D8" s="8" t="s">
        <v>49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84</v>
      </c>
      <c r="T8" s="7"/>
      <c r="U8" s="7"/>
      <c r="V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16</v>
      </c>
      <c r="D9" s="8" t="s">
        <v>53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84</v>
      </c>
      <c r="T9" s="7"/>
      <c r="U9" s="7"/>
      <c r="V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16</v>
      </c>
      <c r="D10" s="8" t="s">
        <v>56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84</v>
      </c>
      <c r="T10" s="7"/>
      <c r="U10" s="7"/>
      <c r="V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16</v>
      </c>
      <c r="D11" s="8" t="s">
        <v>59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84</v>
      </c>
      <c r="T11" s="7"/>
      <c r="U11" s="7"/>
      <c r="V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16</v>
      </c>
      <c r="D12" s="8" t="s">
        <v>62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84</v>
      </c>
      <c r="T12" s="7"/>
      <c r="U12" s="7"/>
      <c r="V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16</v>
      </c>
      <c r="D13" s="8" t="s">
        <v>65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15</v>
      </c>
      <c r="S13" s="7" t="s">
        <v>84</v>
      </c>
      <c r="T13" s="7"/>
      <c r="U13" s="7"/>
      <c r="V13" s="8"/>
    </row>
  </sheetData>
  <dataValidations count="2">
    <dataValidation allowBlank="true" errorStyle="stop" operator="between" showDropDown="false" showErrorMessage="false" showInputMessage="false" sqref="E2:R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S2:S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7" min="5" style="0" width="16"/>
    <col collapsed="false" customWidth="true" hidden="false" outlineLevel="0" max="18" min="18" style="0" width="10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101</v>
      </c>
      <c r="F1" s="3" t="s">
        <v>89</v>
      </c>
      <c r="G1" s="3" t="s">
        <v>102</v>
      </c>
      <c r="H1" s="3" t="s">
        <v>103</v>
      </c>
      <c r="I1" s="3" t="s">
        <v>100</v>
      </c>
      <c r="J1" s="3" t="s">
        <v>104</v>
      </c>
      <c r="K1" s="3" t="s">
        <v>105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7</v>
      </c>
      <c r="T1" s="3" t="s">
        <v>8</v>
      </c>
      <c r="U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22</v>
      </c>
      <c r="D2" s="8" t="s">
        <v>19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84</v>
      </c>
      <c r="S2" s="7"/>
      <c r="T2" s="7"/>
      <c r="U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22</v>
      </c>
      <c r="D3" s="8" t="s">
        <v>31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84</v>
      </c>
      <c r="S3" s="7"/>
      <c r="T3" s="7"/>
      <c r="U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22</v>
      </c>
      <c r="D4" s="8" t="s">
        <v>38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84</v>
      </c>
      <c r="S4" s="7"/>
      <c r="T4" s="7"/>
      <c r="U4" s="8"/>
    </row>
    <row r="5" customFormat="false" ht="14.25" hidden="false" customHeight="false" outlineLevel="0" collapsed="false">
      <c r="A5" s="7" t="n">
        <v>4</v>
      </c>
      <c r="B5" s="7" t="s">
        <v>85</v>
      </c>
      <c r="C5" s="7" t="s">
        <v>22</v>
      </c>
      <c r="D5" s="8" t="s">
        <v>41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84</v>
      </c>
      <c r="S5" s="7"/>
      <c r="T5" s="7"/>
      <c r="U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22</v>
      </c>
      <c r="D6" s="8" t="s">
        <v>46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84</v>
      </c>
      <c r="S6" s="7"/>
      <c r="T6" s="7"/>
      <c r="U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22</v>
      </c>
      <c r="D7" s="8" t="s">
        <v>48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84</v>
      </c>
      <c r="S7" s="7"/>
      <c r="T7" s="7"/>
      <c r="U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22</v>
      </c>
      <c r="D8" s="8" t="s">
        <v>50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84</v>
      </c>
      <c r="S8" s="7"/>
      <c r="T8" s="7"/>
      <c r="U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22</v>
      </c>
      <c r="D9" s="8" t="s">
        <v>54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84</v>
      </c>
      <c r="S9" s="7"/>
      <c r="T9" s="7"/>
      <c r="U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22</v>
      </c>
      <c r="D10" s="8" t="s">
        <v>57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84</v>
      </c>
      <c r="S10" s="7"/>
      <c r="T10" s="7"/>
      <c r="U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22</v>
      </c>
      <c r="D11" s="8" t="s">
        <v>60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84</v>
      </c>
      <c r="S11" s="7"/>
      <c r="T11" s="7"/>
      <c r="U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22</v>
      </c>
      <c r="D12" s="8" t="s">
        <v>63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84</v>
      </c>
      <c r="S12" s="7"/>
      <c r="T12" s="7"/>
      <c r="U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22</v>
      </c>
      <c r="D13" s="8" t="s">
        <v>66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84</v>
      </c>
      <c r="S13" s="7"/>
      <c r="T13" s="7"/>
      <c r="U13" s="8"/>
    </row>
  </sheetData>
  <dataValidations count="2">
    <dataValidation allowBlank="true" errorStyle="stop" operator="between" showDropDown="false" showErrorMessage="false" showInputMessage="false" sqref="E2:Q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R2:R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5" min="5" style="0" width="16"/>
    <col collapsed="false" customWidth="true" hidden="false" outlineLevel="0" max="16" min="16" style="0" width="10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106</v>
      </c>
      <c r="F1" s="3" t="s">
        <v>89</v>
      </c>
      <c r="G1" s="3" t="s">
        <v>107</v>
      </c>
      <c r="H1" s="3" t="s">
        <v>108</v>
      </c>
      <c r="I1" s="3" t="s">
        <v>109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7</v>
      </c>
      <c r="R1" s="3" t="s">
        <v>8</v>
      </c>
      <c r="S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25</v>
      </c>
      <c r="D2" s="8" t="s">
        <v>19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84</v>
      </c>
      <c r="Q2" s="7"/>
      <c r="R2" s="7"/>
      <c r="S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25</v>
      </c>
      <c r="D3" s="8" t="s">
        <v>31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84</v>
      </c>
      <c r="Q3" s="7"/>
      <c r="R3" s="7"/>
      <c r="S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25</v>
      </c>
      <c r="D4" s="8" t="s">
        <v>38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84</v>
      </c>
      <c r="Q4" s="7"/>
      <c r="R4" s="7"/>
      <c r="S4" s="8"/>
    </row>
    <row r="5" customFormat="false" ht="14.25" hidden="false" customHeight="false" outlineLevel="0" collapsed="false">
      <c r="A5" s="7" t="n">
        <v>4</v>
      </c>
      <c r="B5" s="7" t="s">
        <v>85</v>
      </c>
      <c r="C5" s="7" t="s">
        <v>25</v>
      </c>
      <c r="D5" s="8" t="s">
        <v>41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84</v>
      </c>
      <c r="Q5" s="7"/>
      <c r="R5" s="7"/>
      <c r="S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25</v>
      </c>
      <c r="D6" s="8" t="s">
        <v>46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84</v>
      </c>
      <c r="Q6" s="7"/>
      <c r="R6" s="7"/>
      <c r="S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25</v>
      </c>
      <c r="D7" s="8" t="s">
        <v>48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84</v>
      </c>
      <c r="Q7" s="7"/>
      <c r="R7" s="7"/>
      <c r="S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25</v>
      </c>
      <c r="D8" s="8" t="s">
        <v>50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84</v>
      </c>
      <c r="Q8" s="7"/>
      <c r="R8" s="7"/>
      <c r="S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25</v>
      </c>
      <c r="D9" s="8" t="s">
        <v>54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84</v>
      </c>
      <c r="Q9" s="7"/>
      <c r="R9" s="7"/>
      <c r="S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25</v>
      </c>
      <c r="D10" s="8" t="s">
        <v>57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84</v>
      </c>
      <c r="Q10" s="7"/>
      <c r="R10" s="7"/>
      <c r="S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25</v>
      </c>
      <c r="D11" s="8" t="s">
        <v>60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84</v>
      </c>
      <c r="Q11" s="7"/>
      <c r="R11" s="7"/>
      <c r="S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25</v>
      </c>
      <c r="D12" s="8" t="s">
        <v>63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84</v>
      </c>
      <c r="Q12" s="7"/>
      <c r="R12" s="7"/>
      <c r="S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25</v>
      </c>
      <c r="D13" s="8" t="s">
        <v>66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84</v>
      </c>
      <c r="Q13" s="7"/>
      <c r="R13" s="7"/>
      <c r="S13" s="8"/>
    </row>
  </sheetData>
  <dataValidations count="2">
    <dataValidation allowBlank="true" errorStyle="stop" operator="between" showDropDown="false" showErrorMessage="false" showInputMessage="false" sqref="E2:O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P2:P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4" min="5" style="0" width="16"/>
    <col collapsed="false" customWidth="true" hidden="false" outlineLevel="0" max="15" min="15" style="0" width="10"/>
    <col collapsed="false" customWidth="true" hidden="false" outlineLevel="0" max="17" min="16" style="0" width="14"/>
    <col collapsed="false" customWidth="true" hidden="false" outlineLevel="0" max="18" min="18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7</v>
      </c>
      <c r="Q1" s="3" t="s">
        <v>8</v>
      </c>
      <c r="R1" s="3" t="s">
        <v>9</v>
      </c>
    </row>
    <row r="2" customFormat="false" ht="14.25" hidden="false" customHeight="false" outlineLevel="0" collapsed="false">
      <c r="A2" s="7" t="n">
        <v>1</v>
      </c>
      <c r="B2" s="7" t="s">
        <v>83</v>
      </c>
      <c r="C2" s="7" t="s">
        <v>12</v>
      </c>
      <c r="D2" s="8" t="s">
        <v>27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84</v>
      </c>
      <c r="P2" s="7"/>
      <c r="Q2" s="7"/>
      <c r="R2" s="8"/>
    </row>
    <row r="3" customFormat="false" ht="14.25" hidden="false" customHeight="false" outlineLevel="0" collapsed="false">
      <c r="A3" s="7" t="n">
        <v>2</v>
      </c>
      <c r="B3" s="7" t="s">
        <v>83</v>
      </c>
      <c r="C3" s="7" t="s">
        <v>12</v>
      </c>
      <c r="D3" s="8" t="s">
        <v>35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84</v>
      </c>
      <c r="P3" s="7"/>
      <c r="Q3" s="7"/>
      <c r="R3" s="8"/>
    </row>
    <row r="4" customFormat="false" ht="14.25" hidden="false" customHeight="false" outlineLevel="0" collapsed="false">
      <c r="A4" s="7" t="n">
        <v>3</v>
      </c>
      <c r="B4" s="7" t="s">
        <v>83</v>
      </c>
      <c r="C4" s="7" t="s">
        <v>12</v>
      </c>
      <c r="D4" s="8" t="s">
        <v>36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84</v>
      </c>
      <c r="P4" s="7"/>
      <c r="Q4" s="7"/>
      <c r="R4" s="8"/>
    </row>
    <row r="5" customFormat="false" ht="14.25" hidden="false" customHeight="false" outlineLevel="0" collapsed="false">
      <c r="A5" s="7" t="n">
        <v>4</v>
      </c>
      <c r="B5" s="7" t="s">
        <v>83</v>
      </c>
      <c r="C5" s="7" t="s">
        <v>12</v>
      </c>
      <c r="D5" s="8" t="s">
        <v>39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84</v>
      </c>
      <c r="P5" s="7"/>
      <c r="Q5" s="7"/>
      <c r="R5" s="8"/>
    </row>
    <row r="6" customFormat="false" ht="14.25" hidden="false" customHeight="false" outlineLevel="0" collapsed="false">
      <c r="A6" s="7" t="n">
        <v>5</v>
      </c>
      <c r="B6" s="7" t="s">
        <v>85</v>
      </c>
      <c r="C6" s="7" t="s">
        <v>12</v>
      </c>
      <c r="D6" s="8" t="s">
        <v>42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84</v>
      </c>
      <c r="P6" s="7"/>
      <c r="Q6" s="7"/>
      <c r="R6" s="8"/>
    </row>
    <row r="7" customFormat="false" ht="14.25" hidden="false" customHeight="false" outlineLevel="0" collapsed="false">
      <c r="A7" s="7" t="n">
        <v>6</v>
      </c>
      <c r="B7" s="7" t="s">
        <v>85</v>
      </c>
      <c r="C7" s="7" t="s">
        <v>12</v>
      </c>
      <c r="D7" s="8" t="s">
        <v>44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84</v>
      </c>
      <c r="P7" s="7"/>
      <c r="Q7" s="7"/>
      <c r="R7" s="8"/>
    </row>
    <row r="8" customFormat="false" ht="14.25" hidden="false" customHeight="false" outlineLevel="0" collapsed="false">
      <c r="A8" s="7" t="n">
        <v>7</v>
      </c>
      <c r="B8" s="7" t="s">
        <v>86</v>
      </c>
      <c r="C8" s="7" t="s">
        <v>12</v>
      </c>
      <c r="D8" s="8" t="s">
        <v>51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84</v>
      </c>
      <c r="P8" s="7"/>
      <c r="Q8" s="7"/>
      <c r="R8" s="8"/>
    </row>
    <row r="9" customFormat="false" ht="14.25" hidden="false" customHeight="false" outlineLevel="0" collapsed="false">
      <c r="A9" s="7" t="n">
        <v>8</v>
      </c>
      <c r="B9" s="7" t="s">
        <v>86</v>
      </c>
      <c r="C9" s="7" t="s">
        <v>12</v>
      </c>
      <c r="D9" s="8" t="s">
        <v>55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84</v>
      </c>
      <c r="P9" s="7"/>
      <c r="Q9" s="7"/>
      <c r="R9" s="8"/>
    </row>
    <row r="10" customFormat="false" ht="14.25" hidden="false" customHeight="false" outlineLevel="0" collapsed="false">
      <c r="A10" s="7" t="n">
        <v>9</v>
      </c>
      <c r="B10" s="7" t="s">
        <v>86</v>
      </c>
      <c r="C10" s="7" t="s">
        <v>12</v>
      </c>
      <c r="D10" s="8" t="s">
        <v>58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84</v>
      </c>
      <c r="P10" s="7"/>
      <c r="Q10" s="7"/>
      <c r="R10" s="8"/>
    </row>
    <row r="11" customFormat="false" ht="14.25" hidden="false" customHeight="false" outlineLevel="0" collapsed="false">
      <c r="A11" s="7" t="n">
        <v>10</v>
      </c>
      <c r="B11" s="7" t="s">
        <v>87</v>
      </c>
      <c r="C11" s="7" t="s">
        <v>12</v>
      </c>
      <c r="D11" s="8" t="s">
        <v>61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84</v>
      </c>
      <c r="P11" s="7"/>
      <c r="Q11" s="7"/>
      <c r="R11" s="8"/>
    </row>
    <row r="12" customFormat="false" ht="14.25" hidden="false" customHeight="false" outlineLevel="0" collapsed="false">
      <c r="A12" s="7" t="n">
        <v>11</v>
      </c>
      <c r="B12" s="7" t="s">
        <v>87</v>
      </c>
      <c r="C12" s="7" t="s">
        <v>12</v>
      </c>
      <c r="D12" s="8" t="s">
        <v>64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84</v>
      </c>
      <c r="P12" s="7"/>
      <c r="Q12" s="7"/>
      <c r="R12" s="8"/>
    </row>
    <row r="13" customFormat="false" ht="14.25" hidden="false" customHeight="false" outlineLevel="0" collapsed="false">
      <c r="A13" s="7" t="n">
        <v>12</v>
      </c>
      <c r="B13" s="7" t="s">
        <v>87</v>
      </c>
      <c r="C13" s="7" t="s">
        <v>12</v>
      </c>
      <c r="D13" s="8" t="s">
        <v>67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84</v>
      </c>
      <c r="P13" s="7"/>
      <c r="Q13" s="7"/>
      <c r="R13" s="8"/>
    </row>
  </sheetData>
  <dataValidations count="2">
    <dataValidation allowBlank="true" errorStyle="stop" operator="between" showDropDown="false" showErrorMessage="false" showInputMessage="false" sqref="E2:N13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O2:O13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16" min="5" style="0" width="16"/>
    <col collapsed="false" customWidth="true" hidden="false" outlineLevel="0" max="17" min="17" style="0" width="10"/>
    <col collapsed="false" customWidth="true" hidden="false" outlineLevel="0" max="19" min="18" style="0" width="14"/>
    <col collapsed="false" customWidth="true" hidden="false" outlineLevel="0" max="20" min="20" style="0" width="40"/>
  </cols>
  <sheetData>
    <row r="1" customFormat="false" ht="6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7</v>
      </c>
      <c r="S1" s="3" t="s">
        <v>8</v>
      </c>
      <c r="T1" s="3" t="s">
        <v>9</v>
      </c>
    </row>
    <row r="2" customFormat="false" ht="14.25" hidden="false" customHeight="false" outlineLevel="0" collapsed="false">
      <c r="A2" s="7" t="n">
        <v>1</v>
      </c>
      <c r="B2" s="7" t="s">
        <v>85</v>
      </c>
      <c r="C2" s="7" t="s">
        <v>22</v>
      </c>
      <c r="D2" s="8" t="s">
        <v>42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84</v>
      </c>
      <c r="R2" s="7"/>
      <c r="S2" s="7"/>
      <c r="T2" s="8"/>
    </row>
    <row r="3" customFormat="false" ht="14.25" hidden="false" customHeight="false" outlineLevel="0" collapsed="false">
      <c r="A3" s="7" t="n">
        <v>2</v>
      </c>
      <c r="B3" s="7" t="s">
        <v>85</v>
      </c>
      <c r="C3" s="7" t="s">
        <v>22</v>
      </c>
      <c r="D3" s="8" t="s">
        <v>44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84</v>
      </c>
      <c r="R3" s="7"/>
      <c r="S3" s="7"/>
      <c r="T3" s="8"/>
    </row>
    <row r="4" customFormat="false" ht="14.25" hidden="false" customHeight="false" outlineLevel="0" collapsed="false">
      <c r="A4" s="7" t="n">
        <v>3</v>
      </c>
      <c r="B4" s="7" t="s">
        <v>86</v>
      </c>
      <c r="C4" s="7" t="s">
        <v>22</v>
      </c>
      <c r="D4" s="8" t="s">
        <v>52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15</v>
      </c>
      <c r="Q4" s="7" t="s">
        <v>84</v>
      </c>
      <c r="R4" s="7"/>
      <c r="S4" s="7"/>
      <c r="T4" s="8"/>
    </row>
    <row r="5" customFormat="false" ht="14.25" hidden="false" customHeight="false" outlineLevel="0" collapsed="false">
      <c r="A5" s="7" t="n">
        <v>4</v>
      </c>
      <c r="B5" s="7" t="s">
        <v>87</v>
      </c>
      <c r="C5" s="7" t="s">
        <v>22</v>
      </c>
      <c r="D5" s="8" t="s">
        <v>61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84</v>
      </c>
      <c r="R5" s="7"/>
      <c r="S5" s="7"/>
      <c r="T5" s="8"/>
    </row>
  </sheetData>
  <dataValidations count="2">
    <dataValidation allowBlank="true" errorStyle="stop" operator="between" showDropDown="false" showErrorMessage="false" showInputMessage="false" sqref="E2:P5" type="list">
      <formula1>"Not Started,Pass,Fail,Blocked,N/A"</formula1>
      <formula2>0</formula2>
    </dataValidation>
    <dataValidation allowBlank="true" errorStyle="stop" operator="between" showDropDown="false" showErrorMessage="false" showInputMessage="false" sqref="Q2:Q5" type="list">
      <formula1>"None,Cosmetic,Minor,Major,Blocker"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2026-09-09T13:20:52Z</dcterms:created>
  <dc:creator>openpyxl</dc:creator>
  <dc:description/>
  <dc:language>en-US</dc:language>
  <cp:lastModifiedBy>Foxxite 🦊</cp:lastModifiedBy>
  <dcterms:modified xsi:type="dcterms:W3CDTF">2026-09-09T13:26:04Z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